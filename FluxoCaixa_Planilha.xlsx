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ções" sheetId="1" state="visible" r:id="rId3"/>
    <sheet name="Fluxo Mensal" sheetId="2" state="visible" r:id="rId4"/>
    <sheet name="DRE Simplificada" sheetId="3" state="visible" r:id="rId5"/>
    <sheet name="Projeção 12 Meses" sheetId="4" state="visible" r:id="rId6"/>
    <sheet name="Painel Resumo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<sst xmlns="http://schemas.openxmlformats.org/spreadsheetml/2006/main" count="112" uniqueCount="108">
  <si>
    <t xml:space="preserve">PLANILHA DE FLUXO DE CAIXA — PEQUENOS NEGÓCIOS</t>
  </si>
  <si>
    <t xml:space="preserve">Atividade Extensionista — Gestão de Fluxo de Caixa Para Pequenos Negócios Locais</t>
  </si>
  <si>
    <t xml:space="preserve">ABA</t>
  </si>
  <si>
    <t xml:space="preserve">DESCRIÇÃO</t>
  </si>
  <si>
    <t xml:space="preserve">COMO USAR</t>
  </si>
  <si>
    <t xml:space="preserve">Fluxo Mensal</t>
  </si>
  <si>
    <t xml:space="preserve">Controle mês a mês das entradas e saídas com totais automáticos</t>
  </si>
  <si>
    <t xml:space="preserve">Preencha as células azuis com seus valores mensais</t>
  </si>
  <si>
    <t xml:space="preserve">DRE Simplificada</t>
  </si>
  <si>
    <t xml:space="preserve">Demonstração de Resultado do Exercício — visão anual do lucro/prejuízo</t>
  </si>
  <si>
    <t xml:space="preserve">Automático — alimentado pelo Fluxo Mensal</t>
  </si>
  <si>
    <t xml:space="preserve">Projeção 12 Meses</t>
  </si>
  <si>
    <t xml:space="preserve">Projeção futura com taxa de crescimento configurável</t>
  </si>
  <si>
    <t xml:space="preserve">Defina a taxa de crescimento na célula azul indicada</t>
  </si>
  <si>
    <t xml:space="preserve">Painel Resumo</t>
  </si>
  <si>
    <t xml:space="preserve">Dashboard visual com indicadores e gráfico de evolução do caixa</t>
  </si>
  <si>
    <t xml:space="preserve">Apenas leitura — gerado automaticamente</t>
  </si>
  <si>
    <t xml:space="preserve">Instruções</t>
  </si>
  <si>
    <t xml:space="preserve">Esta aba — guia de uso da planilha</t>
  </si>
  <si>
    <t xml:space="preserve">—</t>
  </si>
  <si>
    <t xml:space="preserve">💡 LEGENDA DAS CORES</t>
  </si>
  <si>
    <t xml:space="preserve">■</t>
  </si>
  <si>
    <t xml:space="preserve">Azul — células de INPUT: preencha com seus dados</t>
  </si>
  <si>
    <t xml:space="preserve">Amarelo — células de destaque / premissas importantes</t>
  </si>
  <si>
    <t xml:space="preserve">Verde claro — fórmulas automáticas (não edite)</t>
  </si>
  <si>
    <t xml:space="preserve">Vermelho — resultado negativo (atenção!)</t>
  </si>
  <si>
    <t xml:space="preserve">FLUXO DE CAIXA — CONTROLE MENSAL</t>
  </si>
  <si>
    <t xml:space="preserve">Empresa / Negócio:</t>
  </si>
  <si>
    <t xml:space="preserve">CATEGORIAS</t>
  </si>
  <si>
    <t xml:space="preserve">Jan</t>
  </si>
  <si>
    <t xml:space="preserve">Fev</t>
  </si>
  <si>
    <t xml:space="preserve">Mar</t>
  </si>
  <si>
    <t xml:space="preserve">Abr</t>
  </si>
  <si>
    <t xml:space="preserve">Mai</t>
  </si>
  <si>
    <t xml:space="preserve">Jun</t>
  </si>
  <si>
    <t xml:space="preserve">Jul</t>
  </si>
  <si>
    <t xml:space="preserve">Ago</t>
  </si>
  <si>
    <t xml:space="preserve">Set</t>
  </si>
  <si>
    <t xml:space="preserve">Out</t>
  </si>
  <si>
    <t xml:space="preserve">Nov</t>
  </si>
  <si>
    <t xml:space="preserve">Dez</t>
  </si>
  <si>
    <t xml:space="preserve">TOTAL ANUAL</t>
  </si>
  <si>
    <t xml:space="preserve">Vendas à Vista</t>
  </si>
  <si>
    <t xml:space="preserve">Vendas a Prazo Recebidas</t>
  </si>
  <si>
    <t xml:space="preserve">Prestação de Serviços</t>
  </si>
  <si>
    <t xml:space="preserve">Outras Receitas</t>
  </si>
  <si>
    <t xml:space="preserve">TOTAL ENTRADAS</t>
  </si>
  <si>
    <t xml:space="preserve">Aluguel / Condomínio</t>
  </si>
  <si>
    <t xml:space="preserve">Salários e Pró-labore</t>
  </si>
  <si>
    <t xml:space="preserve">Energia Elétrica</t>
  </si>
  <si>
    <t xml:space="preserve">Internet e Telefone</t>
  </si>
  <si>
    <t xml:space="preserve">Contador / Honorários</t>
  </si>
  <si>
    <t xml:space="preserve">SUBTOTAL SAÍDAS FIXAS</t>
  </si>
  <si>
    <t xml:space="preserve">Compra de Mercadorias / Estoque</t>
  </si>
  <si>
    <t xml:space="preserve">Frete e Logística</t>
  </si>
  <si>
    <t xml:space="preserve">Marketing e Publicidade</t>
  </si>
  <si>
    <t xml:space="preserve">Manutenção e Reparos</t>
  </si>
  <si>
    <t xml:space="preserve">Outros Gastos Variáveis</t>
  </si>
  <si>
    <t xml:space="preserve">SUBTOTAL SAÍDAS VARIÁVEIS</t>
  </si>
  <si>
    <t xml:space="preserve">DAS / Simples Nacional</t>
  </si>
  <si>
    <t xml:space="preserve">Outras Taxas</t>
  </si>
  <si>
    <t xml:space="preserve">SUBTOTAL IMPOSTOS</t>
  </si>
  <si>
    <t xml:space="preserve">TOTAL SAÍDAS</t>
  </si>
  <si>
    <t xml:space="preserve">💰  SALDO DO PERÍODO</t>
  </si>
  <si>
    <t xml:space="preserve">🏦  SALDO ACUMULADO</t>
  </si>
  <si>
    <t xml:space="preserve">📌  Células AZUIS = preencha com seus dados reais  |  Células VERDES = calculadas automaticamente  |  Linha AMARELA = saldo acumulado do ano</t>
  </si>
  <si>
    <t xml:space="preserve">DRE — DEMONSTRAÇÃO DO RESULTADO DO EXERCÍCIO</t>
  </si>
  <si>
    <t xml:space="preserve">Alimentado automaticamente pela aba Fluxo Mensal</t>
  </si>
  <si>
    <t xml:space="preserve">DEMONSTRAÇÃO DO RESULTADO — ANUAL</t>
  </si>
  <si>
    <t xml:space="preserve">% da Receita</t>
  </si>
  <si>
    <t xml:space="preserve">Receita Bruta Total</t>
  </si>
  <si>
    <t xml:space="preserve">Total de Despesas Pagas</t>
  </si>
  <si>
    <t xml:space="preserve">Resultado Bruto</t>
  </si>
  <si>
    <t xml:space="preserve">Saídas Fixas</t>
  </si>
  <si>
    <t xml:space="preserve">Saídas Variáveis</t>
  </si>
  <si>
    <t xml:space="preserve">Impostos e Taxas</t>
  </si>
  <si>
    <t xml:space="preserve">LUCRO / PREJUÍZO LÍQUIDO</t>
  </si>
  <si>
    <t xml:space="preserve">SALDO ACUMULADO FINAL</t>
  </si>
  <si>
    <t xml:space="preserve">PROJEÇÃO DE FLUXO DE CAIXA — PRÓXIMOS 12 MESES</t>
  </si>
  <si>
    <t xml:space="preserve">Taxa de crescimento mensal estimada:</t>
  </si>
  <si>
    <t xml:space="preserve">← Altere aqui a taxa de crescimento esperada</t>
  </si>
  <si>
    <t xml:space="preserve">Mês 1</t>
  </si>
  <si>
    <t xml:space="preserve">Mês 2</t>
  </si>
  <si>
    <t xml:space="preserve">Mês 3</t>
  </si>
  <si>
    <t xml:space="preserve">Mês 4</t>
  </si>
  <si>
    <t xml:space="preserve">Mês 5</t>
  </si>
  <si>
    <t xml:space="preserve">Mês 6</t>
  </si>
  <si>
    <t xml:space="preserve">Mês 7</t>
  </si>
  <si>
    <t xml:space="preserve">Mês 8</t>
  </si>
  <si>
    <t xml:space="preserve">Mês 9</t>
  </si>
  <si>
    <t xml:space="preserve">Mês 10</t>
  </si>
  <si>
    <t xml:space="preserve">Mês 11</t>
  </si>
  <si>
    <t xml:space="preserve">Mês 12</t>
  </si>
  <si>
    <t xml:space="preserve">TOTAL</t>
  </si>
  <si>
    <t xml:space="preserve">Receita Projetada</t>
  </si>
  <si>
    <t xml:space="preserve">Despesas Projetadas</t>
  </si>
  <si>
    <t xml:space="preserve">Saldo Projetado</t>
  </si>
  <si>
    <t xml:space="preserve">Saldo Acumulado</t>
  </si>
  <si>
    <t xml:space="preserve">⚠️ Esta projeção usa médias do período atual. Ajuste a taxa de crescimento conforme a realidade do seu negócio.</t>
  </si>
  <si>
    <t xml:space="preserve">PAINEL RESUMO DO NEGÓCIO</t>
  </si>
  <si>
    <t xml:space="preserve">KPI</t>
  </si>
  <si>
    <t xml:space="preserve">VALOR</t>
  </si>
  <si>
    <t xml:space="preserve">💰 Receita Total Anual</t>
  </si>
  <si>
    <t xml:space="preserve">📤 Total Despesas</t>
  </si>
  <si>
    <t xml:space="preserve">📊 Resultado (Lucro/Prejuízo)</t>
  </si>
  <si>
    <t xml:space="preserve">🏦 Saldo Acumulado Final</t>
  </si>
  <si>
    <t xml:space="preserve">📈 Margem de Resultado</t>
  </si>
  <si>
    <t xml:space="preserve">📌 Painel atualizado automaticamente com os dados do Fluxo Mensal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</si>
</sst>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&quot;R$ &quot;#,##0.00;[RED]&quot;-R$ &quot;#,##0.00;\-"/>
    <numFmt numFmtId="166" formatCode="0.0%"/>
  </numFmts>
  <fonts count="3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AAAAAA"/>
      <name val="Arial"/>
      <family val="0"/>
      <charset val="1"/>
    </font>
    <font>
      <b val="true"/>
      <sz val="10"/>
      <color rgb="FF0D1B2A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1"/>
      <color rgb="FF0D1B2A"/>
      <name val="Arial"/>
      <family val="0"/>
      <charset val="1"/>
    </font>
    <font>
      <b val="true"/>
      <sz val="14"/>
      <color rgb="FFC8DEF5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4"/>
      <color rgb="FFFFFDE7"/>
      <name val="Arial"/>
      <family val="0"/>
      <charset val="1"/>
    </font>
    <font>
      <sz val="10"/>
      <color rgb="FFCC8800"/>
      <name val="Arial"/>
      <family val="0"/>
      <charset val="1"/>
    </font>
    <font>
      <b val="true"/>
      <sz val="14"/>
      <color rgb="FFE8F4F2"/>
      <name val="Arial"/>
      <family val="0"/>
      <charset val="1"/>
    </font>
    <font>
      <sz val="10"/>
      <color rgb="FF1B998B"/>
      <name val="Arial"/>
      <family val="0"/>
      <charset val="1"/>
    </font>
    <font>
      <b val="true"/>
      <sz val="14"/>
      <color rgb="FFFFE0E0"/>
      <name val="Arial"/>
      <family val="0"/>
      <charset val="1"/>
    </font>
    <font>
      <sz val="10"/>
      <color rgb="FFB85042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10"/>
      <color rgb="FF000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9"/>
      <color rgb="FF1B998B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1B7A4F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1"/>
      <color rgb="FF996600"/>
      <name val="Arial"/>
      <family val="0"/>
      <charset val="1"/>
    </font>
    <font>
      <i val="true"/>
      <sz val="9"/>
      <color rgb="FF888888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0D1B2A"/>
      <name val="Arial"/>
      <family val="0"/>
      <charset val="1"/>
    </font>
    <font>
      <b val="true"/>
      <sz val="12"/>
      <color rgb="FF0D1B2A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0D1B2A"/>
        <bgColor rgb="FF222222"/>
      </patternFill>
    </fill>
    <fill>
      <patternFill patternType="solid">
        <fgColor rgb="FFF0F0F0"/>
        <bgColor rgb="FFE8F4F2"/>
      </patternFill>
    </fill>
    <fill>
      <patternFill patternType="solid">
        <fgColor rgb="FFE8F4F2"/>
        <bgColor rgb="FFF0F0F0"/>
      </patternFill>
    </fill>
    <fill>
      <patternFill patternType="solid">
        <fgColor rgb="FFC8DEF5"/>
        <bgColor rgb="FFE8F4F2"/>
      </patternFill>
    </fill>
    <fill>
      <patternFill patternType="solid">
        <fgColor rgb="FF1B998B"/>
        <bgColor rgb="FF008080"/>
      </patternFill>
    </fill>
    <fill>
      <patternFill patternType="solid">
        <fgColor rgb="FF1B7A4F"/>
        <bgColor rgb="FF008080"/>
      </patternFill>
    </fill>
    <fill>
      <patternFill patternType="solid">
        <fgColor rgb="FFB85042"/>
        <bgColor rgb="FF993366"/>
      </patternFill>
    </fill>
    <fill>
      <patternFill patternType="solid">
        <fgColor rgb="FFFFBC42"/>
        <bgColor rgb="FFFF8080"/>
      </patternFill>
    </fill>
    <fill>
      <patternFill patternType="solid">
        <fgColor rgb="FFFAFAFA"/>
        <bgColor rgb="FFFFFFFF"/>
      </patternFill>
    </fill>
    <fill>
      <patternFill patternType="solid">
        <fgColor rgb="FFFFFDE7"/>
        <bgColor rgb="FFFAFAF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8" fillId="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9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9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9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21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8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2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2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28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1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32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1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32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1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32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32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3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34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96600"/>
      <rgbColor rgb="FF800080"/>
      <rgbColor rgb="FF1B7A4F"/>
      <rgbColor rgb="FFC0C0C0"/>
      <rgbColor rgb="FF888888"/>
      <rgbColor rgb="FF9999FF"/>
      <rgbColor rgb="FFB85042"/>
      <rgbColor rgb="FFFFFDE7"/>
      <rgbColor rgb="FFE8F4F2"/>
      <rgbColor rgb="FF660066"/>
      <rgbColor rgb="FFFF8080"/>
      <rgbColor rgb="FF0066CC"/>
      <rgbColor rgb="FFC8DE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0F0F0"/>
      <rgbColor rgb="FFFAFAFA"/>
      <rgbColor rgb="FFFFFF99"/>
      <rgbColor rgb="FF99CCFF"/>
      <rgbColor rgb="FFFF99CC"/>
      <rgbColor rgb="FFCC99FF"/>
      <rgbColor rgb="FFFFE0E0"/>
      <rgbColor rgb="FF3366FF"/>
      <rgbColor rgb="FF33CCCC"/>
      <rgbColor rgb="FF99CC00"/>
      <rgbColor rgb="FFFFBC42"/>
      <rgbColor rgb="FFCC8800"/>
      <rgbColor rgb="FFFF6600"/>
      <rgbColor rgb="FF666666"/>
      <rgbColor rgb="FFAAAAAA"/>
      <rgbColor rgb="FF003366"/>
      <rgbColor rgb="FF1B998B"/>
      <rgbColor rgb="FF0D1B2A"/>
      <rgbColor rgb="FF222222"/>
      <rgbColor rgb="FF993300"/>
      <rgbColor rgb="FF993366"/>
      <rgbColor rgb="FF55555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0"/>
    <col collapsed="false" customWidth="true" hidden="false" outlineLevel="0" max="3" min="3" style="0" width="30"/>
  </cols>
  <sheetData>
    <row r="1" customFormat="false" ht="36" hidden="false" customHeight="true" outlineLevel="0" collapsed="false">
      <c r="A1" s="1" t="s">
        <v>0</v>
      </c>
      <c r="B1" s="1"/>
      <c r="C1" s="1"/>
    </row>
    <row r="2" customFormat="false" ht="15" hidden="false" customHeight="false" outlineLevel="0" collapsed="false">
      <c r="A2" s="2" t="s">
        <v>1</v>
      </c>
      <c r="B2" s="2"/>
      <c r="C2" s="2"/>
    </row>
    <row r="3" customFormat="false" ht="12" hidden="false" customHeight="true" outlineLevel="0" collapsed="false"/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</row>
    <row r="5" customFormat="false" ht="21.75" hidden="false" customHeight="true" outlineLevel="0" collapsed="false">
      <c r="A5" s="4" t="s">
        <v>5</v>
      </c>
      <c r="B5" s="4" t="s">
        <v>6</v>
      </c>
      <c r="C5" s="4" t="s">
        <v>7</v>
      </c>
    </row>
    <row r="6" customFormat="false" ht="21.75" hidden="false" customHeight="true" outlineLevel="0" collapsed="false">
      <c r="A6" s="4" t="s">
        <v>8</v>
      </c>
      <c r="B6" s="4" t="s">
        <v>9</v>
      </c>
      <c r="C6" s="4" t="s">
        <v>10</v>
      </c>
    </row>
    <row r="7" customFormat="false" ht="21.75" hidden="false" customHeight="true" outlineLevel="0" collapsed="false">
      <c r="A7" s="4" t="s">
        <v>11</v>
      </c>
      <c r="B7" s="4" t="s">
        <v>12</v>
      </c>
      <c r="C7" s="4" t="s">
        <v>13</v>
      </c>
    </row>
    <row r="8" customFormat="false" ht="21.75" hidden="false" customHeight="true" outlineLevel="0" collapsed="false">
      <c r="A8" s="4" t="s">
        <v>14</v>
      </c>
      <c r="B8" s="4" t="s">
        <v>15</v>
      </c>
      <c r="C8" s="4" t="s">
        <v>16</v>
      </c>
    </row>
    <row r="9" customFormat="false" ht="21.75" hidden="false" customHeight="true" outlineLevel="0" collapsed="false">
      <c r="A9" s="4" t="s">
        <v>17</v>
      </c>
      <c r="B9" s="4" t="s">
        <v>18</v>
      </c>
      <c r="C9" s="4" t="s">
        <v>19</v>
      </c>
    </row>
    <row r="10" customFormat="false" ht="12" hidden="false" customHeight="true" outlineLevel="0" collapsed="false"/>
    <row r="11" customFormat="false" ht="15" hidden="false" customHeight="false" outlineLevel="0" collapsed="false">
      <c r="A11" s="5" t="s">
        <v>20</v>
      </c>
      <c r="B11" s="5"/>
      <c r="C11" s="5"/>
    </row>
    <row r="12" customFormat="false" ht="19.5" hidden="false" customHeight="true" outlineLevel="0" collapsed="false">
      <c r="A12" s="6" t="s">
        <v>21</v>
      </c>
      <c r="B12" s="7" t="s">
        <v>22</v>
      </c>
      <c r="C12" s="7"/>
    </row>
    <row r="13" customFormat="false" ht="19.5" hidden="false" customHeight="true" outlineLevel="0" collapsed="false">
      <c r="A13" s="8" t="s">
        <v>21</v>
      </c>
      <c r="B13" s="9" t="s">
        <v>23</v>
      </c>
      <c r="C13" s="9"/>
    </row>
    <row r="14" customFormat="false" ht="19.5" hidden="false" customHeight="true" outlineLevel="0" collapsed="false">
      <c r="A14" s="10" t="s">
        <v>21</v>
      </c>
      <c r="B14" s="11" t="s">
        <v>24</v>
      </c>
      <c r="C14" s="11"/>
    </row>
    <row r="15" customFormat="false" ht="19.5" hidden="false" customHeight="true" outlineLevel="0" collapsed="false">
      <c r="A15" s="12" t="s">
        <v>21</v>
      </c>
      <c r="B15" s="13" t="s">
        <v>25</v>
      </c>
      <c r="C15" s="13"/>
    </row>
  </sheetData>
  <mergeCells count="7">
    <mergeCell ref="A1:C1"/>
    <mergeCell ref="A2:C2"/>
    <mergeCell ref="A11:C11"/>
    <mergeCell ref="B12:C12"/>
    <mergeCell ref="B13:C13"/>
    <mergeCell ref="B14:C14"/>
    <mergeCell ref="B15:C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14" min="3" style="0" width="11"/>
    <col collapsed="false" customWidth="true" hidden="false" outlineLevel="0" max="15" min="15" style="0" width="13"/>
    <col collapsed="false" customWidth="true" hidden="false" outlineLevel="0" max="16" min="16" style="0" width="11"/>
  </cols>
  <sheetData>
    <row r="1" customFormat="false" ht="31.5" hidden="false" customHeight="true" outlineLevel="0" collapsed="false">
      <c r="A1" s="14" t="s">
        <v>26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customFormat="false" ht="15" hidden="false" customHeight="false" outlineLevel="0" collapsed="false">
      <c r="A2" s="15" t="s">
        <v>27</v>
      </c>
      <c r="B2" s="15"/>
      <c r="C2" s="15"/>
      <c r="D2" s="15"/>
      <c r="E2" s="16"/>
      <c r="F2" s="16"/>
      <c r="G2" s="16"/>
      <c r="H2" s="16"/>
      <c r="I2" s="16"/>
      <c r="J2" s="16"/>
    </row>
    <row r="3" customFormat="false" ht="6" hidden="false" customHeight="true" outlineLevel="0" collapsed="false"/>
    <row r="4" customFormat="false" ht="24" hidden="false" customHeight="true" outlineLevel="0" collapsed="false">
      <c r="B4" s="17" t="s">
        <v>28</v>
      </c>
      <c r="C4" s="17" t="s">
        <v>29</v>
      </c>
      <c r="D4" s="17" t="s">
        <v>30</v>
      </c>
      <c r="E4" s="17" t="s">
        <v>31</v>
      </c>
      <c r="F4" s="17" t="s">
        <v>32</v>
      </c>
      <c r="G4" s="17" t="s">
        <v>33</v>
      </c>
      <c r="H4" s="17" t="s">
        <v>34</v>
      </c>
      <c r="I4" s="17" t="s">
        <v>35</v>
      </c>
      <c r="J4" s="17" t="s">
        <v>36</v>
      </c>
      <c r="K4" s="17" t="s">
        <v>37</v>
      </c>
      <c r="L4" s="17" t="s">
        <v>38</v>
      </c>
      <c r="M4" s="17" t="s">
        <v>39</v>
      </c>
      <c r="N4" s="17" t="s">
        <v>40</v>
      </c>
      <c r="O4" s="17" t="s">
        <v>41</v>
      </c>
    </row>
    <row r="5" customFormat="false" ht="19.5" hidden="false" customHeight="true" outlineLevel="0" collapsed="false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</row>
    <row r="6" customFormat="false" ht="19.5" hidden="false" customHeight="true" outlineLevel="0" collapsed="false">
      <c r="B6" s="19" t="s">
        <v>42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1" t="n">
        <f aca="false">SUM(C6:N6)</f>
        <v>0</v>
      </c>
    </row>
    <row r="7" customFormat="false" ht="19.5" hidden="false" customHeight="true" outlineLevel="0" collapsed="false">
      <c r="B7" s="19" t="s">
        <v>43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1" t="n">
        <f aca="false">SUM(C7:N7)</f>
        <v>0</v>
      </c>
    </row>
    <row r="8" customFormat="false" ht="19.5" hidden="false" customHeight="true" outlineLevel="0" collapsed="false">
      <c r="B8" s="19" t="s">
        <v>44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1" t="n">
        <f aca="false">SUM(C8:N8)</f>
        <v>0</v>
      </c>
    </row>
    <row r="9" customFormat="false" ht="19.5" hidden="false" customHeight="true" outlineLevel="0" collapsed="false">
      <c r="B9" s="19" t="s">
        <v>45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1" t="n">
        <f aca="false">SUM(C9:N9)</f>
        <v>0</v>
      </c>
    </row>
    <row r="10" customFormat="false" ht="19.5" hidden="false" customHeight="true" outlineLevel="0" collapsed="false">
      <c r="B10" s="22" t="s">
        <v>46</v>
      </c>
      <c r="C10" s="23" t="n">
        <f aca="false">C6+C7+C8+C9</f>
        <v>0</v>
      </c>
      <c r="D10" s="23" t="n">
        <f aca="false">D6+D7+D8+D9</f>
        <v>0</v>
      </c>
      <c r="E10" s="23" t="n">
        <f aca="false">E6+E7+E8+E9</f>
        <v>0</v>
      </c>
      <c r="F10" s="23" t="n">
        <f aca="false">F6+F7+F8+F9</f>
        <v>0</v>
      </c>
      <c r="G10" s="23" t="n">
        <f aca="false">G6+G7+G8+G9</f>
        <v>0</v>
      </c>
      <c r="H10" s="23" t="n">
        <f aca="false">H6+H7+H8+H9</f>
        <v>0</v>
      </c>
      <c r="I10" s="23" t="n">
        <f aca="false">I6+I7+I8+I9</f>
        <v>0</v>
      </c>
      <c r="J10" s="23" t="n">
        <f aca="false">J6+J7+J8+J9</f>
        <v>0</v>
      </c>
      <c r="K10" s="23" t="n">
        <f aca="false">K6+K7+K8+K9</f>
        <v>0</v>
      </c>
      <c r="L10" s="23" t="n">
        <f aca="false">L6+L7+L8+L9</f>
        <v>0</v>
      </c>
      <c r="M10" s="23" t="n">
        <f aca="false">M6+M7+M8+M9</f>
        <v>0</v>
      </c>
      <c r="N10" s="23" t="n">
        <f aca="false">N6+N7+N8+N9</f>
        <v>0</v>
      </c>
      <c r="O10" s="23" t="n">
        <f aca="false">O6+O7+O8+O9</f>
        <v>0</v>
      </c>
    </row>
    <row r="11" customFormat="false" ht="6" hidden="false" customHeight="true" outlineLevel="0" collapsed="false"/>
    <row r="12" customFormat="false" ht="19.5" hidden="false" customHeight="true" outlineLevel="0" collapsed="false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</row>
    <row r="13" customFormat="false" ht="19.5" hidden="false" customHeight="true" outlineLevel="0" collapsed="false">
      <c r="B13" s="19" t="s">
        <v>47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1" t="n">
        <f aca="false">SUM(C13:N13)</f>
        <v>0</v>
      </c>
    </row>
    <row r="14" customFormat="false" ht="19.5" hidden="false" customHeight="true" outlineLevel="0" collapsed="false">
      <c r="B14" s="19" t="s">
        <v>48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1" t="n">
        <f aca="false">SUM(C14:N14)</f>
        <v>0</v>
      </c>
    </row>
    <row r="15" customFormat="false" ht="19.5" hidden="false" customHeight="true" outlineLevel="0" collapsed="false">
      <c r="B15" s="19" t="s">
        <v>49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1" t="n">
        <f aca="false">SUM(C15:N15)</f>
        <v>0</v>
      </c>
    </row>
    <row r="16" customFormat="false" ht="19.5" hidden="false" customHeight="true" outlineLevel="0" collapsed="false">
      <c r="B16" s="19" t="s">
        <v>50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1" t="n">
        <f aca="false">SUM(C16:N16)</f>
        <v>0</v>
      </c>
    </row>
    <row r="17" customFormat="false" ht="19.5" hidden="false" customHeight="true" outlineLevel="0" collapsed="false">
      <c r="B17" s="19" t="s">
        <v>51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1" t="n">
        <f aca="false">SUM(C17:N17)</f>
        <v>0</v>
      </c>
    </row>
    <row r="18" customFormat="false" ht="19.5" hidden="false" customHeight="true" outlineLevel="0" collapsed="false">
      <c r="B18" s="24" t="s">
        <v>52</v>
      </c>
      <c r="C18" s="25" t="n">
        <f aca="false">C13+C14+C15+C16+C17</f>
        <v>0</v>
      </c>
      <c r="D18" s="25" t="n">
        <f aca="false">D13+D14+D15+D16+D17</f>
        <v>0</v>
      </c>
      <c r="E18" s="25" t="n">
        <f aca="false">E13+E14+E15+E16+E17</f>
        <v>0</v>
      </c>
      <c r="F18" s="25" t="n">
        <f aca="false">F13+F14+F15+F16+F17</f>
        <v>0</v>
      </c>
      <c r="G18" s="25" t="n">
        <f aca="false">G13+G14+G15+G16+G17</f>
        <v>0</v>
      </c>
      <c r="H18" s="25" t="n">
        <f aca="false">H13+H14+H15+H16+H17</f>
        <v>0</v>
      </c>
      <c r="I18" s="25" t="n">
        <f aca="false">I13+I14+I15+I16+I17</f>
        <v>0</v>
      </c>
      <c r="J18" s="25" t="n">
        <f aca="false">J13+J14+J15+J16+J17</f>
        <v>0</v>
      </c>
      <c r="K18" s="25" t="n">
        <f aca="false">K13+K14+K15+K16+K17</f>
        <v>0</v>
      </c>
      <c r="L18" s="25" t="n">
        <f aca="false">L13+L14+L15+L16+L17</f>
        <v>0</v>
      </c>
      <c r="M18" s="25" t="n">
        <f aca="false">M13+M14+M15+M16+M17</f>
        <v>0</v>
      </c>
      <c r="N18" s="25" t="n">
        <f aca="false">N13+N14+N15+N16+N17</f>
        <v>0</v>
      </c>
      <c r="O18" s="21" t="n">
        <f aca="false">O13+O14+O15+O16+O17</f>
        <v>0</v>
      </c>
    </row>
    <row r="19" customFormat="false" ht="6" hidden="false" customHeight="true" outlineLevel="0" collapsed="false"/>
    <row r="20" customFormat="false" ht="19.5" hidden="false" customHeight="true" outlineLevel="0" collapsed="false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</row>
    <row r="21" customFormat="false" ht="19.5" hidden="false" customHeight="true" outlineLevel="0" collapsed="false">
      <c r="B21" s="19" t="s">
        <v>53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1" t="n">
        <f aca="false">SUM(C21:N21)</f>
        <v>0</v>
      </c>
    </row>
    <row r="22" customFormat="false" ht="19.5" hidden="false" customHeight="true" outlineLevel="0" collapsed="false">
      <c r="B22" s="19" t="s">
        <v>54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1" t="n">
        <f aca="false">SUM(C22:N22)</f>
        <v>0</v>
      </c>
    </row>
    <row r="23" customFormat="false" ht="19.5" hidden="false" customHeight="true" outlineLevel="0" collapsed="false">
      <c r="B23" s="19" t="s">
        <v>55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1" t="n">
        <f aca="false">SUM(C23:N23)</f>
        <v>0</v>
      </c>
    </row>
    <row r="24" customFormat="false" ht="19.5" hidden="false" customHeight="true" outlineLevel="0" collapsed="false">
      <c r="B24" s="19" t="s">
        <v>56</v>
      </c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1" t="n">
        <f aca="false">SUM(C24:N24)</f>
        <v>0</v>
      </c>
    </row>
    <row r="25" customFormat="false" ht="19.5" hidden="false" customHeight="true" outlineLevel="0" collapsed="false">
      <c r="B25" s="19" t="s">
        <v>57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1" t="n">
        <f aca="false">SUM(C25:N25)</f>
        <v>0</v>
      </c>
    </row>
    <row r="26" customFormat="false" ht="19.5" hidden="false" customHeight="true" outlineLevel="0" collapsed="false">
      <c r="B26" s="24" t="s">
        <v>58</v>
      </c>
      <c r="C26" s="25" t="n">
        <f aca="false">C21+C22+C23+C24+C25</f>
        <v>0</v>
      </c>
      <c r="D26" s="25" t="n">
        <f aca="false">D21+D22+D23+D24+D25</f>
        <v>0</v>
      </c>
      <c r="E26" s="25" t="n">
        <f aca="false">E21+E22+E23+E24+E25</f>
        <v>0</v>
      </c>
      <c r="F26" s="25" t="n">
        <f aca="false">F21+F22+F23+F24+F25</f>
        <v>0</v>
      </c>
      <c r="G26" s="25" t="n">
        <f aca="false">G21+G22+G23+G24+G25</f>
        <v>0</v>
      </c>
      <c r="H26" s="25" t="n">
        <f aca="false">H21+H22+H23+H24+H25</f>
        <v>0</v>
      </c>
      <c r="I26" s="25" t="n">
        <f aca="false">I21+I22+I23+I24+I25</f>
        <v>0</v>
      </c>
      <c r="J26" s="25" t="n">
        <f aca="false">J21+J22+J23+J24+J25</f>
        <v>0</v>
      </c>
      <c r="K26" s="25" t="n">
        <f aca="false">K21+K22+K23+K24+K25</f>
        <v>0</v>
      </c>
      <c r="L26" s="25" t="n">
        <f aca="false">L21+L22+L23+L24+L25</f>
        <v>0</v>
      </c>
      <c r="M26" s="25" t="n">
        <f aca="false">M21+M22+M23+M24+M25</f>
        <v>0</v>
      </c>
      <c r="N26" s="25" t="n">
        <f aca="false">N21+N22+N23+N24+N25</f>
        <v>0</v>
      </c>
      <c r="O26" s="21" t="n">
        <f aca="false">O21+O22+O23+O24+O25</f>
        <v>0</v>
      </c>
    </row>
    <row r="27" customFormat="false" ht="6" hidden="false" customHeight="true" outlineLevel="0" collapsed="false"/>
    <row r="28" customFormat="false" ht="19.5" hidden="false" customHeight="true" outlineLevel="0" collapsed="false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</row>
    <row r="29" customFormat="false" ht="19.5" hidden="false" customHeight="true" outlineLevel="0" collapsed="false">
      <c r="B29" s="19" t="s">
        <v>59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1" t="n">
        <f aca="false">SUM(C29:N29)</f>
        <v>0</v>
      </c>
    </row>
    <row r="30" customFormat="false" ht="19.5" hidden="false" customHeight="true" outlineLevel="0" collapsed="false">
      <c r="B30" s="19" t="s">
        <v>60</v>
      </c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1" t="n">
        <f aca="false">SUM(C30:N30)</f>
        <v>0</v>
      </c>
    </row>
    <row r="31" customFormat="false" ht="19.5" hidden="false" customHeight="true" outlineLevel="0" collapsed="false">
      <c r="B31" s="26" t="s">
        <v>61</v>
      </c>
      <c r="C31" s="21" t="n">
        <f aca="false">C29+C30</f>
        <v>0</v>
      </c>
      <c r="D31" s="21" t="n">
        <f aca="false">D29+D30</f>
        <v>0</v>
      </c>
      <c r="E31" s="21" t="n">
        <f aca="false">E29+E30</f>
        <v>0</v>
      </c>
      <c r="F31" s="21" t="n">
        <f aca="false">F29+F30</f>
        <v>0</v>
      </c>
      <c r="G31" s="21" t="n">
        <f aca="false">G29+G30</f>
        <v>0</v>
      </c>
      <c r="H31" s="21" t="n">
        <f aca="false">H29+H30</f>
        <v>0</v>
      </c>
      <c r="I31" s="21" t="n">
        <f aca="false">I29+I30</f>
        <v>0</v>
      </c>
      <c r="J31" s="21" t="n">
        <f aca="false">J29+J30</f>
        <v>0</v>
      </c>
      <c r="K31" s="21" t="n">
        <f aca="false">K29+K30</f>
        <v>0</v>
      </c>
      <c r="L31" s="21" t="n">
        <f aca="false">L29+L30</f>
        <v>0</v>
      </c>
      <c r="M31" s="21" t="n">
        <f aca="false">M29+M30</f>
        <v>0</v>
      </c>
      <c r="N31" s="21" t="n">
        <f aca="false">N29+N30</f>
        <v>0</v>
      </c>
      <c r="O31" s="21" t="n">
        <f aca="false">O29+O30</f>
        <v>0</v>
      </c>
    </row>
    <row r="32" customFormat="false" ht="6" hidden="false" customHeight="true" outlineLevel="0" collapsed="false"/>
    <row r="33" customFormat="false" ht="19.5" hidden="false" customHeight="true" outlineLevel="0" collapsed="false">
      <c r="B33" s="24" t="s">
        <v>62</v>
      </c>
      <c r="C33" s="25" t="n">
        <f aca="false">C18+C26+C31</f>
        <v>0</v>
      </c>
      <c r="D33" s="25" t="n">
        <f aca="false">D18+D26+D31</f>
        <v>0</v>
      </c>
      <c r="E33" s="25" t="n">
        <f aca="false">E18+E26+E31</f>
        <v>0</v>
      </c>
      <c r="F33" s="25" t="n">
        <f aca="false">F18+F26+F31</f>
        <v>0</v>
      </c>
      <c r="G33" s="25" t="n">
        <f aca="false">G18+G26+G31</f>
        <v>0</v>
      </c>
      <c r="H33" s="25" t="n">
        <f aca="false">H18+H26+H31</f>
        <v>0</v>
      </c>
      <c r="I33" s="25" t="n">
        <f aca="false">I18+I26+I31</f>
        <v>0</v>
      </c>
      <c r="J33" s="25" t="n">
        <f aca="false">J18+J26+J31</f>
        <v>0</v>
      </c>
      <c r="K33" s="25" t="n">
        <f aca="false">K18+K26+K31</f>
        <v>0</v>
      </c>
      <c r="L33" s="25" t="n">
        <f aca="false">L18+L26+L31</f>
        <v>0</v>
      </c>
      <c r="M33" s="25" t="n">
        <f aca="false">M18+M26+M31</f>
        <v>0</v>
      </c>
      <c r="N33" s="25" t="n">
        <f aca="false">N18+N26+N31</f>
        <v>0</v>
      </c>
      <c r="O33" s="25" t="n">
        <f aca="false">O18+O26+O31</f>
        <v>0</v>
      </c>
    </row>
    <row r="34" customFormat="false" ht="6" hidden="false" customHeight="true" outlineLevel="0" collapsed="false"/>
    <row r="35" customFormat="false" ht="24" hidden="false" customHeight="true" outlineLevel="0" collapsed="false">
      <c r="B35" s="27" t="s">
        <v>63</v>
      </c>
      <c r="C35" s="28" t="n">
        <f aca="false">C10-C33</f>
        <v>0</v>
      </c>
      <c r="D35" s="28" t="n">
        <f aca="false">D10-D33</f>
        <v>0</v>
      </c>
      <c r="E35" s="28" t="n">
        <f aca="false">E10-E33</f>
        <v>0</v>
      </c>
      <c r="F35" s="28" t="n">
        <f aca="false">F10-F33</f>
        <v>0</v>
      </c>
      <c r="G35" s="28" t="n">
        <f aca="false">G10-G33</f>
        <v>0</v>
      </c>
      <c r="H35" s="28" t="n">
        <f aca="false">H10-H33</f>
        <v>0</v>
      </c>
      <c r="I35" s="28" t="n">
        <f aca="false">I10-I33</f>
        <v>0</v>
      </c>
      <c r="J35" s="28" t="n">
        <f aca="false">J10-J33</f>
        <v>0</v>
      </c>
      <c r="K35" s="28" t="n">
        <f aca="false">K10-K33</f>
        <v>0</v>
      </c>
      <c r="L35" s="28" t="n">
        <f aca="false">L10-L33</f>
        <v>0</v>
      </c>
      <c r="M35" s="28" t="n">
        <f aca="false">M10-M33</f>
        <v>0</v>
      </c>
      <c r="N35" s="28" t="n">
        <f aca="false">N10-N33</f>
        <v>0</v>
      </c>
      <c r="O35" s="28" t="n">
        <f aca="false">O10-O33</f>
        <v>0</v>
      </c>
    </row>
    <row r="36" customFormat="false" ht="24" hidden="false" customHeight="true" outlineLevel="0" collapsed="false">
      <c r="B36" s="29" t="s">
        <v>64</v>
      </c>
      <c r="C36" s="30" t="n">
        <f aca="false">C35</f>
        <v>0</v>
      </c>
      <c r="D36" s="30" t="n">
        <f aca="false">C36+D35</f>
        <v>0</v>
      </c>
      <c r="E36" s="30" t="n">
        <f aca="false">D36+E35</f>
        <v>0</v>
      </c>
      <c r="F36" s="30" t="n">
        <f aca="false">E36+F35</f>
        <v>0</v>
      </c>
      <c r="G36" s="30" t="n">
        <f aca="false">F36+G35</f>
        <v>0</v>
      </c>
      <c r="H36" s="30" t="n">
        <f aca="false">G36+H35</f>
        <v>0</v>
      </c>
      <c r="I36" s="30" t="n">
        <f aca="false">H36+I35</f>
        <v>0</v>
      </c>
      <c r="J36" s="30" t="n">
        <f aca="false">I36+J35</f>
        <v>0</v>
      </c>
      <c r="K36" s="30" t="n">
        <f aca="false">J36+K35</f>
        <v>0</v>
      </c>
      <c r="L36" s="30" t="n">
        <f aca="false">K36+L35</f>
        <v>0</v>
      </c>
      <c r="M36" s="30" t="n">
        <f aca="false">L36+M35</f>
        <v>0</v>
      </c>
      <c r="N36" s="30" t="n">
        <f aca="false">M36+N35</f>
        <v>0</v>
      </c>
      <c r="O36" s="30" t="n">
        <f aca="false">N36</f>
        <v>0</v>
      </c>
    </row>
    <row r="38" customFormat="false" ht="13.5" hidden="false" customHeight="true" outlineLevel="0" collapsed="false">
      <c r="A38" s="31" t="s">
        <v>65</v>
      </c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</row>
  </sheetData>
  <mergeCells count="8">
    <mergeCell ref="A1:O1"/>
    <mergeCell ref="A2:D2"/>
    <mergeCell ref="E2:J2"/>
    <mergeCell ref="A5:O5"/>
    <mergeCell ref="A12:O12"/>
    <mergeCell ref="A20:O20"/>
    <mergeCell ref="A28:O28"/>
    <mergeCell ref="A38:O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3" min="3" style="0" width="18"/>
    <col collapsed="false" customWidth="true" hidden="false" outlineLevel="0" max="4" min="4" style="0" width="14"/>
  </cols>
  <sheetData>
    <row r="1" customFormat="false" ht="30" hidden="false" customHeight="true" outlineLevel="0" collapsed="false">
      <c r="A1" s="32" t="s">
        <v>66</v>
      </c>
      <c r="B1" s="32"/>
      <c r="C1" s="32"/>
      <c r="D1" s="32"/>
    </row>
    <row r="2" customFormat="false" ht="15" hidden="false" customHeight="false" outlineLevel="0" collapsed="false">
      <c r="A2" s="33" t="s">
        <v>67</v>
      </c>
      <c r="B2" s="33"/>
      <c r="C2" s="33"/>
      <c r="D2" s="33"/>
    </row>
    <row r="4" customFormat="false" ht="19.5" hidden="false" customHeight="true" outlineLevel="0" collapsed="false">
      <c r="B4" s="34" t="s">
        <v>68</v>
      </c>
      <c r="C4" s="34"/>
      <c r="D4" s="34" t="s">
        <v>69</v>
      </c>
    </row>
    <row r="5" customFormat="false" ht="19.5" hidden="false" customHeight="true" outlineLevel="0" collapsed="false">
      <c r="B5" s="35" t="s">
        <v>70</v>
      </c>
      <c r="C5" s="36" t="n">
        <f aca="false">'Fluxo Mensal'!O10</f>
        <v>0</v>
      </c>
      <c r="D5" s="37"/>
    </row>
    <row r="6" customFormat="false" ht="19.5" hidden="false" customHeight="true" outlineLevel="0" collapsed="false">
      <c r="B6" s="35" t="s">
        <v>71</v>
      </c>
      <c r="C6" s="36" t="n">
        <f aca="false">'Fluxo Mensal'!O33</f>
        <v>0</v>
      </c>
      <c r="D6" s="37"/>
    </row>
    <row r="7" customFormat="false" ht="19.5" hidden="false" customHeight="true" outlineLevel="0" collapsed="false">
      <c r="B7" s="3" t="s">
        <v>72</v>
      </c>
      <c r="C7" s="21" t="n">
        <f aca="false">C5-C6</f>
        <v>0</v>
      </c>
      <c r="D7" s="38" t="n">
        <f aca="false">IFERROR(C7/C5,0)</f>
        <v>0</v>
      </c>
    </row>
    <row r="8" customFormat="false" ht="6" hidden="false" customHeight="true" outlineLevel="0" collapsed="false"/>
    <row r="9" customFormat="false" ht="19.5" hidden="false" customHeight="true" outlineLevel="0" collapsed="false">
      <c r="B9" s="35" t="s">
        <v>73</v>
      </c>
      <c r="C9" s="36" t="n">
        <f aca="false">'Fluxo Mensal'!O18</f>
        <v>0</v>
      </c>
      <c r="D9" s="39" t="n">
        <f aca="false">IFERROR(C10/C5,0)</f>
        <v>0</v>
      </c>
    </row>
    <row r="10" customFormat="false" ht="19.5" hidden="false" customHeight="true" outlineLevel="0" collapsed="false">
      <c r="B10" s="35" t="s">
        <v>74</v>
      </c>
      <c r="C10" s="36" t="n">
        <f aca="false">'Fluxo Mensal'!O26</f>
        <v>0</v>
      </c>
      <c r="D10" s="39" t="n">
        <f aca="false">IFERROR(C11/C5,0)</f>
        <v>0</v>
      </c>
    </row>
    <row r="11" customFormat="false" ht="19.5" hidden="false" customHeight="true" outlineLevel="0" collapsed="false">
      <c r="B11" s="35" t="s">
        <v>75</v>
      </c>
      <c r="C11" s="36" t="n">
        <f aca="false">'Fluxo Mensal'!O31</f>
        <v>0</v>
      </c>
      <c r="D11" s="39" t="n">
        <f aca="false">IFERROR(C12/C5,0)</f>
        <v>0</v>
      </c>
    </row>
    <row r="12" customFormat="false" ht="6" hidden="false" customHeight="true" outlineLevel="0" collapsed="false"/>
    <row r="13" customFormat="false" ht="19.5" hidden="false" customHeight="true" outlineLevel="0" collapsed="false">
      <c r="B13" s="40" t="s">
        <v>76</v>
      </c>
      <c r="C13" s="30" t="n">
        <f aca="false">'Fluxo Mensal'!O35</f>
        <v>0</v>
      </c>
      <c r="D13" s="41" t="n">
        <f aca="false">IFERROR(C15/C5,0)</f>
        <v>0</v>
      </c>
    </row>
    <row r="14" customFormat="false" ht="19.5" hidden="false" customHeight="true" outlineLevel="0" collapsed="false">
      <c r="B14" s="40" t="s">
        <v>77</v>
      </c>
      <c r="C14" s="30" t="n">
        <f aca="false">'Fluxo Mensal'!N36</f>
        <v>0</v>
      </c>
      <c r="D14" s="40"/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8"/>
    <col collapsed="false" customWidth="true" hidden="false" outlineLevel="0" max="14" min="3" style="0" width="10"/>
    <col collapsed="false" customWidth="true" hidden="false" outlineLevel="0" max="15" min="15" style="0" width="12"/>
    <col collapsed="false" customWidth="true" hidden="false" outlineLevel="0" max="16" min="16" style="0" width="10"/>
  </cols>
  <sheetData>
    <row r="1" customFormat="false" ht="30" hidden="false" customHeight="true" outlineLevel="0" collapsed="false">
      <c r="A1" s="32" t="s">
        <v>78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</row>
    <row r="2" customFormat="false" ht="21.75" hidden="false" customHeight="true" outlineLevel="0" collapsed="false">
      <c r="B2" s="42" t="s">
        <v>79</v>
      </c>
      <c r="C2" s="43" t="n">
        <v>0.03</v>
      </c>
      <c r="D2" s="44" t="s">
        <v>80</v>
      </c>
    </row>
    <row r="3" customFormat="false" ht="24" hidden="false" customHeight="true" outlineLevel="0" collapsed="false">
      <c r="B3" s="17" t="s">
        <v>28</v>
      </c>
      <c r="C3" s="17" t="s">
        <v>81</v>
      </c>
      <c r="D3" s="17" t="s">
        <v>82</v>
      </c>
      <c r="E3" s="17" t="s">
        <v>83</v>
      </c>
      <c r="F3" s="17" t="s">
        <v>84</v>
      </c>
      <c r="G3" s="17" t="s">
        <v>85</v>
      </c>
      <c r="H3" s="17" t="s">
        <v>86</v>
      </c>
      <c r="I3" s="17" t="s">
        <v>87</v>
      </c>
      <c r="J3" s="17" t="s">
        <v>88</v>
      </c>
      <c r="K3" s="17" t="s">
        <v>89</v>
      </c>
      <c r="L3" s="17" t="s">
        <v>90</v>
      </c>
      <c r="M3" s="17" t="s">
        <v>91</v>
      </c>
      <c r="N3" s="17" t="s">
        <v>92</v>
      </c>
      <c r="O3" s="17" t="s">
        <v>93</v>
      </c>
    </row>
    <row r="4" customFormat="false" ht="21.75" hidden="false" customHeight="true" outlineLevel="0" collapsed="false">
      <c r="B4" s="45" t="s">
        <v>94</v>
      </c>
      <c r="C4" s="23" t="n">
        <f aca="false">('Fluxo Mensal'!O10/12)*(1+$C$2)^0</f>
        <v>0</v>
      </c>
      <c r="D4" s="23" t="n">
        <f aca="false">('Fluxo Mensal'!O10/12)*(1+$C$2)^1</f>
        <v>0</v>
      </c>
      <c r="E4" s="23" t="n">
        <f aca="false">('Fluxo Mensal'!O10/12)*(1+$C$2)^2</f>
        <v>0</v>
      </c>
      <c r="F4" s="23" t="n">
        <f aca="false">('Fluxo Mensal'!O10/12)*(1+$C$2)^3</f>
        <v>0</v>
      </c>
      <c r="G4" s="23" t="n">
        <f aca="false">('Fluxo Mensal'!O10/12)*(1+$C$2)^4</f>
        <v>0</v>
      </c>
      <c r="H4" s="23" t="n">
        <f aca="false">('Fluxo Mensal'!O10/12)*(1+$C$2)^5</f>
        <v>0</v>
      </c>
      <c r="I4" s="23" t="n">
        <f aca="false">('Fluxo Mensal'!O10/12)*(1+$C$2)^6</f>
        <v>0</v>
      </c>
      <c r="J4" s="23" t="n">
        <f aca="false">('Fluxo Mensal'!O10/12)*(1+$C$2)^7</f>
        <v>0</v>
      </c>
      <c r="K4" s="23" t="n">
        <f aca="false">('Fluxo Mensal'!O10/12)*(1+$C$2)^8</f>
        <v>0</v>
      </c>
      <c r="L4" s="23" t="n">
        <f aca="false">('Fluxo Mensal'!O10/12)*(1+$C$2)^9</f>
        <v>0</v>
      </c>
      <c r="M4" s="23" t="n">
        <f aca="false">('Fluxo Mensal'!O10/12)*(1+$C$2)^10</f>
        <v>0</v>
      </c>
      <c r="N4" s="23" t="n">
        <f aca="false">('Fluxo Mensal'!O10/12)*(1+$C$2)^11</f>
        <v>0</v>
      </c>
      <c r="O4" s="23" t="n">
        <f aca="false">SUM(C4:N4)</f>
        <v>0</v>
      </c>
    </row>
    <row r="5" customFormat="false" ht="21.75" hidden="false" customHeight="true" outlineLevel="0" collapsed="false">
      <c r="B5" s="46" t="s">
        <v>95</v>
      </c>
      <c r="C5" s="25" t="n">
        <f aca="false">('Fluxo Mensal'!O33/12)*(1+$C$2)^0</f>
        <v>0</v>
      </c>
      <c r="D5" s="25" t="n">
        <f aca="false">('Fluxo Mensal'!O33/12)*(1+$C$2)^1</f>
        <v>0</v>
      </c>
      <c r="E5" s="25" t="n">
        <f aca="false">('Fluxo Mensal'!O33/12)*(1+$C$2)^2</f>
        <v>0</v>
      </c>
      <c r="F5" s="25" t="n">
        <f aca="false">('Fluxo Mensal'!O33/12)*(1+$C$2)^3</f>
        <v>0</v>
      </c>
      <c r="G5" s="25" t="n">
        <f aca="false">('Fluxo Mensal'!O33/12)*(1+$C$2)^4</f>
        <v>0</v>
      </c>
      <c r="H5" s="25" t="n">
        <f aca="false">('Fluxo Mensal'!O33/12)*(1+$C$2)^5</f>
        <v>0</v>
      </c>
      <c r="I5" s="25" t="n">
        <f aca="false">('Fluxo Mensal'!O33/12)*(1+$C$2)^6</f>
        <v>0</v>
      </c>
      <c r="J5" s="25" t="n">
        <f aca="false">('Fluxo Mensal'!O33/12)*(1+$C$2)^7</f>
        <v>0</v>
      </c>
      <c r="K5" s="25" t="n">
        <f aca="false">('Fluxo Mensal'!O33/12)*(1+$C$2)^8</f>
        <v>0</v>
      </c>
      <c r="L5" s="25" t="n">
        <f aca="false">('Fluxo Mensal'!O33/12)*(1+$C$2)^9</f>
        <v>0</v>
      </c>
      <c r="M5" s="25" t="n">
        <f aca="false">('Fluxo Mensal'!O33/12)*(1+$C$2)^10</f>
        <v>0</v>
      </c>
      <c r="N5" s="25" t="n">
        <f aca="false">('Fluxo Mensal'!O33/12)*(1+$C$2)^11</f>
        <v>0</v>
      </c>
      <c r="O5" s="25" t="n">
        <f aca="false">SUM(C5:N5)</f>
        <v>0</v>
      </c>
    </row>
    <row r="6" customFormat="false" ht="21.75" hidden="false" customHeight="true" outlineLevel="0" collapsed="false">
      <c r="B6" s="34" t="s">
        <v>96</v>
      </c>
      <c r="C6" s="47" t="n">
        <f aca="false">C4-C5</f>
        <v>0</v>
      </c>
      <c r="D6" s="47" t="n">
        <f aca="false">D4-D5</f>
        <v>0</v>
      </c>
      <c r="E6" s="47" t="n">
        <f aca="false">E4-E5</f>
        <v>0</v>
      </c>
      <c r="F6" s="47" t="n">
        <f aca="false">F4-F5</f>
        <v>0</v>
      </c>
      <c r="G6" s="47" t="n">
        <f aca="false">G4-G5</f>
        <v>0</v>
      </c>
      <c r="H6" s="47" t="n">
        <f aca="false">H4-H5</f>
        <v>0</v>
      </c>
      <c r="I6" s="47" t="n">
        <f aca="false">I4-I5</f>
        <v>0</v>
      </c>
      <c r="J6" s="47" t="n">
        <f aca="false">J4-J5</f>
        <v>0</v>
      </c>
      <c r="K6" s="47" t="n">
        <f aca="false">K4-K5</f>
        <v>0</v>
      </c>
      <c r="L6" s="47" t="n">
        <f aca="false">L4-L5</f>
        <v>0</v>
      </c>
      <c r="M6" s="47" t="n">
        <f aca="false">M4-M5</f>
        <v>0</v>
      </c>
      <c r="N6" s="47" t="n">
        <f aca="false">N4-N5</f>
        <v>0</v>
      </c>
      <c r="O6" s="47" t="n">
        <f aca="false">SUM(C6:N6)</f>
        <v>0</v>
      </c>
    </row>
    <row r="7" customFormat="false" ht="21.75" hidden="false" customHeight="true" outlineLevel="0" collapsed="false">
      <c r="B7" s="48" t="s">
        <v>97</v>
      </c>
      <c r="C7" s="49" t="n">
        <f aca="false">C6</f>
        <v>0</v>
      </c>
      <c r="D7" s="49" t="n">
        <f aca="false">C7+D6</f>
        <v>0</v>
      </c>
      <c r="E7" s="49" t="n">
        <f aca="false">D7+E6</f>
        <v>0</v>
      </c>
      <c r="F7" s="49" t="n">
        <f aca="false">E7+F6</f>
        <v>0</v>
      </c>
      <c r="G7" s="49" t="n">
        <f aca="false">F7+G6</f>
        <v>0</v>
      </c>
      <c r="H7" s="49" t="n">
        <f aca="false">G7+H6</f>
        <v>0</v>
      </c>
      <c r="I7" s="49" t="n">
        <f aca="false">H7+I6</f>
        <v>0</v>
      </c>
      <c r="J7" s="49" t="n">
        <f aca="false">I7+J6</f>
        <v>0</v>
      </c>
      <c r="K7" s="49" t="n">
        <f aca="false">J7+K6</f>
        <v>0</v>
      </c>
      <c r="L7" s="49" t="n">
        <f aca="false">K7+L6</f>
        <v>0</v>
      </c>
      <c r="M7" s="49" t="n">
        <f aca="false">L7+M6</f>
        <v>0</v>
      </c>
      <c r="N7" s="49" t="n">
        <f aca="false">M7+N6</f>
        <v>0</v>
      </c>
      <c r="O7" s="49" t="n">
        <f aca="false">SUM(C7:N7)</f>
        <v>0</v>
      </c>
    </row>
    <row r="9" customFormat="false" ht="15" hidden="false" customHeight="false" outlineLevel="0" collapsed="false">
      <c r="B9" s="50" t="s">
        <v>98</v>
      </c>
      <c r="C9" s="50"/>
      <c r="D9" s="50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</row>
  </sheetData>
  <mergeCells count="2">
    <mergeCell ref="A1:O1"/>
    <mergeCell ref="B9:O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7" min="1" style="0" width="22"/>
  </cols>
  <sheetData>
    <row r="1" customFormat="false" ht="30" hidden="false" customHeight="true" outlineLevel="0" collapsed="false">
      <c r="A1" s="14" t="s">
        <v>99</v>
      </c>
      <c r="B1" s="14"/>
      <c r="C1" s="14"/>
      <c r="D1" s="14"/>
      <c r="E1" s="14"/>
      <c r="F1" s="14"/>
    </row>
    <row r="2" customFormat="false" ht="36" hidden="false" customHeight="true" outlineLevel="0" collapsed="false">
      <c r="A2" s="51" t="s">
        <v>100</v>
      </c>
      <c r="B2" s="51" t="s">
        <v>101</v>
      </c>
    </row>
    <row r="3" customFormat="false" ht="36" hidden="false" customHeight="true" outlineLevel="0" collapsed="false">
      <c r="A3" s="52" t="s">
        <v>102</v>
      </c>
      <c r="B3" s="53" t="n">
        <f aca="false">'Fluxo Mensal'!O10</f>
        <v>0</v>
      </c>
    </row>
    <row r="4" customFormat="false" ht="36" hidden="false" customHeight="true" outlineLevel="0" collapsed="false">
      <c r="A4" s="54" t="s">
        <v>103</v>
      </c>
      <c r="B4" s="55" t="n">
        <f aca="false">'Fluxo Mensal'!O33</f>
        <v>0</v>
      </c>
    </row>
    <row r="5" customFormat="false" ht="36" hidden="false" customHeight="true" outlineLevel="0" collapsed="false">
      <c r="A5" s="56" t="s">
        <v>104</v>
      </c>
      <c r="B5" s="57" t="n">
        <f aca="false">'Fluxo Mensal'!O35</f>
        <v>0</v>
      </c>
    </row>
    <row r="6" customFormat="false" ht="36" hidden="false" customHeight="true" outlineLevel="0" collapsed="false">
      <c r="A6" s="58" t="s">
        <v>105</v>
      </c>
      <c r="B6" s="59" t="n">
        <f aca="false">'Fluxo Mensal'!N36</f>
        <v>0</v>
      </c>
    </row>
    <row r="7" customFormat="false" ht="36" hidden="false" customHeight="true" outlineLevel="0" collapsed="false">
      <c r="A7" s="60" t="s">
        <v>106</v>
      </c>
      <c r="B7" s="61" t="n">
        <f aca="false">IF('Fluxo Mensal'!O10=0,0,'Fluxo Mensal'!O35/'Fluxo Mensal'!O10)</f>
        <v>0</v>
      </c>
    </row>
    <row r="8" customFormat="false" ht="12" hidden="false" customHeight="true" outlineLevel="0" collapsed="false"/>
    <row r="9" customFormat="false" ht="15" hidden="false" customHeight="false" outlineLevel="0" collapsed="false">
      <c r="A9" s="62" t="s">
        <v>107</v>
      </c>
      <c r="B9" s="62"/>
    </row>
  </sheetData>
  <mergeCells count="2">
    <mergeCell ref="A1:F1"/>
    <mergeCell ref="A9:B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2026-07-11T06:28:04Z</dcterms:created>
  <dc:creator>openpyxl</dc:creator>
  <dc:description/>
  <dc:language>en-US</dc:language>
  <cp:lastModifiedBy/>
  <dcterms:modified xsi:type="dcterms:W3CDTF">2026-07-11T06:28:05Z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